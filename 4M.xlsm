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Sô_la_mviê_cNa_y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5F8B727-6027-471B-ADE6-8DBB576FCAA2}" xr6:coauthVersionLast="47" xr6:coauthVersionMax="47" xr10:uidLastSave="{00000000-0000-0000-0000-000000000000}"/>
  <bookViews>
    <workbookView xWindow="-110" yWindow="-110" windowWidth="19420" windowHeight="10420" xr2:uid="{D72DFF8B-8521-4C7F-BE82-1132416439BB}"/>
  </bookViews>
  <sheets>
    <sheet name="4M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" l="1"/>
  <c r="C26" i="1"/>
  <c r="B30" i="1"/>
  <c r="B27" i="1"/>
  <c r="B28" i="1"/>
  <c r="B29" i="1"/>
  <c r="B34" i="1"/>
  <c r="B35" i="1"/>
  <c r="B26" i="1"/>
  <c r="D27" i="1"/>
  <c r="D28" i="1"/>
  <c r="D29" i="1"/>
  <c r="D34" i="1"/>
  <c r="D35" i="1"/>
  <c r="C27" i="1"/>
  <c r="C28" i="1"/>
  <c r="C29" i="1"/>
  <c r="C34" i="1"/>
  <c r="C35" i="1"/>
  <c r="E30" i="1"/>
  <c r="H30" i="1" s="1"/>
  <c r="I30" i="1" s="1"/>
  <c r="C16" i="1"/>
  <c r="D16" i="1"/>
  <c r="E16" i="1"/>
  <c r="F16" i="1"/>
  <c r="G16" i="1"/>
  <c r="B16" i="1"/>
  <c r="C13" i="1"/>
  <c r="D13" i="1"/>
  <c r="E13" i="1"/>
  <c r="F13" i="1"/>
  <c r="B33" i="1" s="1"/>
  <c r="G13" i="1"/>
  <c r="B13" i="1"/>
  <c r="C12" i="1"/>
  <c r="D12" i="1"/>
  <c r="E12" i="1"/>
  <c r="F12" i="1"/>
  <c r="G12" i="1"/>
  <c r="B12" i="1"/>
  <c r="D32" i="1" s="1"/>
  <c r="C11" i="1"/>
  <c r="D11" i="1"/>
  <c r="E11" i="1"/>
  <c r="F11" i="1"/>
  <c r="C31" i="1" s="1"/>
  <c r="G11" i="1"/>
  <c r="B11" i="1"/>
  <c r="D31" i="1" l="1"/>
  <c r="D33" i="1"/>
  <c r="H33" i="1" s="1"/>
  <c r="I33" i="1" s="1"/>
  <c r="C33" i="1"/>
  <c r="H29" i="1"/>
  <c r="I29" i="1" s="1"/>
  <c r="B36" i="1"/>
  <c r="B32" i="1"/>
  <c r="C32" i="1"/>
  <c r="B31" i="1"/>
  <c r="H31" i="1" s="1"/>
  <c r="I31" i="1" s="1"/>
  <c r="C36" i="1"/>
  <c r="H26" i="1"/>
  <c r="I26" i="1" s="1"/>
  <c r="D36" i="1"/>
  <c r="H35" i="1"/>
  <c r="I35" i="1" s="1"/>
  <c r="H34" i="1"/>
  <c r="I34" i="1" s="1"/>
  <c r="H28" i="1"/>
  <c r="I28" i="1" s="1"/>
  <c r="H27" i="1"/>
  <c r="I27" i="1" s="1"/>
  <c r="H32" i="1" l="1"/>
  <c r="I32" i="1" s="1"/>
  <c r="H36" i="1"/>
  <c r="I36" i="1" s="1"/>
  <c r="J26" i="1" s="1"/>
</calcChain>
</file>

<file path=xl/sharedStrings.xml><?xml version="1.0" encoding="utf-8"?>
<sst xmlns="http://schemas.openxmlformats.org/spreadsheetml/2006/main" count="39" uniqueCount="30">
  <si>
    <t>MÃ CHỨNG KHOÁN</t>
  </si>
  <si>
    <t>Đơn vị: nghìn đồng</t>
  </si>
  <si>
    <t>Nợ dài hạn</t>
  </si>
  <si>
    <t>Chỉ số</t>
  </si>
  <si>
    <t xml:space="preserve">Sales </t>
  </si>
  <si>
    <t xml:space="preserve">EPS </t>
  </si>
  <si>
    <t xml:space="preserve">BVPS </t>
  </si>
  <si>
    <t>Tăng trưởng Lưu chuyển Tiền thuần từ HDKD</t>
  </si>
  <si>
    <t>Nợ dài hạn năm gần nhất</t>
  </si>
  <si>
    <t>Effectiveness( Doanh Thu/ Tài Sản )</t>
  </si>
  <si>
    <t>Effciency (Lợi nhuận/ Doanh thu)</t>
  </si>
  <si>
    <t>Productitivty (OPC LCDTKD/ Lợi nhuận)</t>
  </si>
  <si>
    <t>ROA</t>
  </si>
  <si>
    <t>ROE</t>
  </si>
  <si>
    <t>ROIC</t>
  </si>
  <si>
    <t>Tài sản</t>
  </si>
  <si>
    <t>Lợi nhuận sau thuế</t>
  </si>
  <si>
    <t>Vốn chủ sở hữu</t>
  </si>
  <si>
    <t>Sales Growth Rate</t>
  </si>
  <si>
    <t>EPS Growth Rate</t>
  </si>
  <si>
    <t>BVPS Growth Rates</t>
  </si>
  <si>
    <t>Tăng trưởng OPC LCDTKD</t>
  </si>
  <si>
    <t>Lợi nhuận năm gần nhất</t>
  </si>
  <si>
    <t>THAM CHIẾU</t>
  </si>
  <si>
    <t>TỶ TRỌNG</t>
  </si>
  <si>
    <t>&lt; 3*LN</t>
  </si>
  <si>
    <t>ĐIỂM TP</t>
  </si>
  <si>
    <t>TỶ TRỌNG
CỦA ĐIỂM TP</t>
  </si>
  <si>
    <t>TỔNG ĐIỂM</t>
  </si>
  <si>
    <t>HPG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</si>
</sst>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Segoe UI"/>
      <family val="2"/>
    </font>
    <font>
      <b/>
      <sz val="11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3" fillId="3" borderId="1" xfId="0" applyFont="1" applyFill="1" applyBorder="1" applyAlignment="1">
      <alignment horizontal="center" vertical="center" wrapText="1"/>
    </xf>
    <xf numFmtId="9" fontId="5" fillId="2" borderId="1" xfId="0" applyNumberFormat="1" applyFont="1" applyFill="1" applyBorder="1" applyAlignment="1">
      <alignment vertical="center"/>
    </xf>
    <xf numFmtId="9" fontId="5" fillId="2" borderId="1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4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10" fontId="0" fillId="0" borderId="1" xfId="0" applyNumberFormat="1" applyBorder="1"/>
    <xf numFmtId="0" fontId="0" fillId="4" borderId="1" xfId="0" applyFill="1" applyBorder="1" applyAlignment="1">
      <alignment horizontal="center" vertical="center"/>
    </xf>
  </cellXfs>
  <cellStyles count="1">
    <cellStyle name="Bình thường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44450</xdr:colOff>
          <xdr:row>1</xdr:row>
          <xdr:rowOff>114300</xdr:rowOff>
        </xdr:from>
        <xdr:to>
          <xdr:col>3</xdr:col>
          <xdr:colOff>1384300</xdr:colOff>
          <xdr:row>1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 cứu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6BF3D-10CF-44D3-80C4-EEE6ABE3C49E}">
  <sheetPr codeName="Trang_tính1"/>
  <dimension ref="A2:J36"/>
  <sheetViews>
    <sheetView tabSelected="1" workbookViewId="0">
      <selection activeCell="A2" sqref="A2"/>
    </sheetView>
  </sheetViews>
  <sheetFormatPr defaultRowHeight="14.5" x14ac:dyDescent="0.35"/>
  <cols>
    <col min="1" max="1" width="49" customWidth="1"/>
    <col min="2" max="2" width="24.453125" customWidth="1"/>
    <col min="3" max="3" width="23.81640625" customWidth="1"/>
    <col min="4" max="4" width="21.1796875" customWidth="1"/>
    <col min="5" max="5" width="18.54296875" customWidth="1"/>
    <col min="6" max="6" width="15.36328125" customWidth="1"/>
    <col min="7" max="7" width="26.81640625" customWidth="1"/>
    <col min="9" max="9" width="15" customWidth="1"/>
    <col min="10" max="10" width="18.26953125" customWidth="1"/>
  </cols>
  <sheetData>
    <row r="2" spans="1:7" ht="31.5" customHeight="1" x14ac:dyDescent="0.35">
      <c r="A2" s="8" t="s">
        <v>0</v>
      </c>
      <c r="B2" s="10" t="s">
        <v>29</v>
      </c>
      <c r="E2" s="9" t="s">
        <v>1</v>
      </c>
    </row>
    <row r="4" spans="1:7" ht="16.5" x14ac:dyDescent="0.45">
      <c r="A4" s="11" t="s">
        <v>3</v>
      </c>
      <c r="B4" s="2">
        <v>2015</v>
      </c>
      <c r="C4" s="2">
        <v>2016</v>
      </c>
      <c r="D4" s="2">
        <v>2017</v>
      </c>
      <c r="E4" s="2">
        <v>2018</v>
      </c>
      <c r="F4" s="2">
        <v>2019</v>
      </c>
      <c r="G4" s="2">
        <v>2020</v>
      </c>
    </row>
    <row r="5" spans="1:7" ht="16.5" x14ac:dyDescent="0.45">
      <c r="A5" s="11"/>
      <c r="B5" s="2"/>
      <c r="C5" s="2"/>
      <c r="D5" s="2"/>
      <c r="E5" s="2"/>
      <c r="F5" s="2"/>
      <c r="G5" s="2"/>
    </row>
    <row r="6" spans="1:7" ht="16.5" x14ac:dyDescent="0.35">
      <c r="A6" s="1" t="s">
        <v>4</v>
      </c>
      <c r="B6" s="12">
        <v>27452932114.333</v>
      </c>
      <c r="C6" s="12">
        <v>33283210159.987</v>
      </c>
      <c r="D6" s="12">
        <v>46161691614.304001</v>
      </c>
      <c r="E6" s="12">
        <v>55836458379.759003</v>
      </c>
      <c r="F6" s="12">
        <v>63658192673.791</v>
      </c>
      <c r="G6" s="12">
        <v>90118503426.716995</v>
      </c>
    </row>
    <row r="7" spans="1:7" ht="16.5" x14ac:dyDescent="0.35">
      <c r="A7" s="1" t="s">
        <v>5</v>
      </c>
      <c r="B7" s="12">
        <v>4.7553806076320999</v>
      </c>
      <c r="C7" s="12">
        <v>7.8328368321718003</v>
      </c>
      <c r="D7" s="12">
        <v>5.2776896350466993</v>
      </c>
      <c r="E7" s="12">
        <v>4.0364354655668997</v>
      </c>
      <c r="F7" s="12">
        <v>2.7262733828766001</v>
      </c>
      <c r="G7" s="12">
        <v>4.0595087824083995</v>
      </c>
    </row>
    <row r="8" spans="1:7" ht="16.5" x14ac:dyDescent="0.35">
      <c r="A8" s="1" t="s">
        <v>6</v>
      </c>
      <c r="B8" s="12">
        <v>19.739999999999998</v>
      </c>
      <c r="C8" s="12">
        <v>23.55</v>
      </c>
      <c r="D8" s="12">
        <v>21.36</v>
      </c>
      <c r="E8" s="12">
        <v>19.13</v>
      </c>
      <c r="F8" s="12">
        <v>17.309999999999999</v>
      </c>
      <c r="G8" s="12">
        <v>17.87</v>
      </c>
    </row>
    <row r="9" spans="1:7" ht="16.5" x14ac:dyDescent="0.35">
      <c r="A9" s="1" t="s">
        <v>7</v>
      </c>
      <c r="B9" s="12">
        <v>4542949540.9709997</v>
      </c>
      <c r="C9" s="12">
        <v>6818719926.8479996</v>
      </c>
      <c r="D9" s="12">
        <v>6058322352.3699999</v>
      </c>
      <c r="E9" s="12">
        <v>7642344150.7309999</v>
      </c>
      <c r="F9" s="12">
        <v>7715168694.1160002</v>
      </c>
      <c r="G9" s="12">
        <v>11587249912.974001</v>
      </c>
    </row>
    <row r="10" spans="1:7" ht="16.5" x14ac:dyDescent="0.35">
      <c r="A10" s="1" t="s">
        <v>8</v>
      </c>
      <c r="B10" s="12">
        <v>20316430635.228001</v>
      </c>
      <c r="C10" s="13" t="s">
        <v>22</v>
      </c>
      <c r="D10" s="13"/>
      <c r="E10" s="13"/>
      <c r="F10" s="13"/>
      <c r="G10" s="12">
        <v>13450300052.812</v>
      </c>
    </row>
    <row r="11" spans="1:7" ht="16.5" x14ac:dyDescent="0.35">
      <c r="A11" s="1" t="s">
        <v>9</v>
      </c>
      <c r="B11" s="12">
        <f>B6/B18</f>
        <v>1.0762998604264988</v>
      </c>
      <c r="C11" s="12">
        <f t="shared" ref="C11:G11" si="0">C6/C18</f>
        <v>1.0017051977454641</v>
      </c>
      <c r="D11" s="12">
        <f t="shared" si="0"/>
        <v>0.87061089254169921</v>
      </c>
      <c r="E11" s="12">
        <f t="shared" si="0"/>
        <v>0.71381119241357249</v>
      </c>
      <c r="F11" s="12">
        <f t="shared" si="0"/>
        <v>0.62547333209308931</v>
      </c>
      <c r="G11" s="12">
        <f t="shared" si="0"/>
        <v>0.68525222803262542</v>
      </c>
    </row>
    <row r="12" spans="1:7" ht="16.5" x14ac:dyDescent="0.35">
      <c r="A12" s="1" t="s">
        <v>10</v>
      </c>
      <c r="B12" s="12">
        <f>B19/B6</f>
        <v>0.12696140979524961</v>
      </c>
      <c r="C12" s="12">
        <f t="shared" ref="C12:G12" si="1">C19/C6</f>
        <v>0.19836133499553577</v>
      </c>
      <c r="D12" s="12">
        <f t="shared" si="1"/>
        <v>0.17344841217573564</v>
      </c>
      <c r="E12" s="12">
        <f t="shared" si="1"/>
        <v>0.15353792950309614</v>
      </c>
      <c r="F12" s="12">
        <f t="shared" si="1"/>
        <v>0.11824782564040899</v>
      </c>
      <c r="G12" s="12">
        <f t="shared" si="1"/>
        <v>0.14925125852483315</v>
      </c>
    </row>
    <row r="13" spans="1:7" ht="16.5" x14ac:dyDescent="0.35">
      <c r="A13" s="1" t="s">
        <v>11</v>
      </c>
      <c r="B13" s="12">
        <f>B9/B19</f>
        <v>1.3033991718084006</v>
      </c>
      <c r="C13" s="12">
        <f t="shared" ref="C13:G13" si="2">C9/C19</f>
        <v>1.0328104483340419</v>
      </c>
      <c r="D13" s="12">
        <f t="shared" si="2"/>
        <v>0.75665922948094</v>
      </c>
      <c r="E13" s="12">
        <f t="shared" si="2"/>
        <v>0.89144190866352746</v>
      </c>
      <c r="F13" s="12">
        <f t="shared" si="2"/>
        <v>1.0249388576621665</v>
      </c>
      <c r="G13" s="12">
        <f t="shared" si="2"/>
        <v>0.86148635104623561</v>
      </c>
    </row>
    <row r="14" spans="1:7" ht="16.5" x14ac:dyDescent="0.35">
      <c r="A14" s="1" t="s">
        <v>12</v>
      </c>
      <c r="B14" s="12">
        <v>13.66</v>
      </c>
      <c r="C14" s="12">
        <v>19.87</v>
      </c>
      <c r="D14" s="12">
        <v>15.1</v>
      </c>
      <c r="E14" s="12">
        <v>10.96</v>
      </c>
      <c r="F14" s="12">
        <v>7.4</v>
      </c>
      <c r="G14" s="12">
        <v>10.23</v>
      </c>
    </row>
    <row r="15" spans="1:7" ht="16.5" x14ac:dyDescent="0.35">
      <c r="A15" s="1" t="s">
        <v>13</v>
      </c>
      <c r="B15" s="12">
        <v>24.09</v>
      </c>
      <c r="C15" s="12">
        <v>33.26</v>
      </c>
      <c r="D15" s="12">
        <v>24.71</v>
      </c>
      <c r="E15" s="12">
        <v>21.1</v>
      </c>
      <c r="F15" s="12">
        <v>15.75</v>
      </c>
      <c r="G15" s="12">
        <v>22.71</v>
      </c>
    </row>
    <row r="16" spans="1:7" ht="16.5" x14ac:dyDescent="0.35">
      <c r="A16" s="1" t="s">
        <v>14</v>
      </c>
      <c r="B16" s="12">
        <f>B19/(B20+B21)*100</f>
        <v>22.466657511503378</v>
      </c>
      <c r="C16" s="12">
        <f t="shared" ref="C16:G16" si="3">C19/(C20+C21)*100</f>
        <v>31.081100810228996</v>
      </c>
      <c r="D16" s="12">
        <f t="shared" si="3"/>
        <v>23.206089120388953</v>
      </c>
      <c r="E16" s="12">
        <f t="shared" si="3"/>
        <v>15.422735681228547</v>
      </c>
      <c r="F16" s="12">
        <f t="shared" si="3"/>
        <v>10.064525330437862</v>
      </c>
      <c r="G16" s="12">
        <f t="shared" si="3"/>
        <v>16.910912500065358</v>
      </c>
    </row>
    <row r="18" spans="1:10" ht="16.5" x14ac:dyDescent="0.35">
      <c r="A18" s="1" t="s">
        <v>15</v>
      </c>
      <c r="B18" s="12">
        <v>25506769185.544998</v>
      </c>
      <c r="C18" s="12">
        <v>33226552317.884998</v>
      </c>
      <c r="D18" s="12">
        <v>53022184778.250999</v>
      </c>
      <c r="E18" s="12">
        <v>78223007670.925003</v>
      </c>
      <c r="F18" s="12">
        <v>101776030099.89999</v>
      </c>
      <c r="G18" s="12">
        <v>131511434388.83701</v>
      </c>
    </row>
    <row r="19" spans="1:10" ht="16.5" x14ac:dyDescent="0.35">
      <c r="A19" s="1" t="s">
        <v>16</v>
      </c>
      <c r="B19" s="12">
        <v>3485462964.2490001</v>
      </c>
      <c r="C19" s="12">
        <v>6602102000.2720003</v>
      </c>
      <c r="D19" s="12">
        <v>8006672113.8470001</v>
      </c>
      <c r="E19" s="12">
        <v>8573014210.4139996</v>
      </c>
      <c r="F19" s="12">
        <v>7527442867.8739996</v>
      </c>
      <c r="G19" s="12">
        <v>13450300052.812</v>
      </c>
    </row>
    <row r="20" spans="1:10" ht="16.5" x14ac:dyDescent="0.35">
      <c r="A20" s="1" t="s">
        <v>17</v>
      </c>
      <c r="B20" s="12">
        <v>14466710385.309999</v>
      </c>
      <c r="C20" s="12">
        <v>19850261077.964001</v>
      </c>
      <c r="D20" s="12">
        <v>32397580211.91</v>
      </c>
      <c r="E20" s="12">
        <v>40622949840.809998</v>
      </c>
      <c r="F20" s="12">
        <v>47786636143.695</v>
      </c>
      <c r="G20" s="12">
        <v>59219786306.111</v>
      </c>
    </row>
    <row r="21" spans="1:10" ht="16.5" x14ac:dyDescent="0.35">
      <c r="A21" s="1" t="s">
        <v>2</v>
      </c>
      <c r="B21" s="12">
        <v>1047226044.55</v>
      </c>
      <c r="C21" s="12">
        <v>1391271004.7709999</v>
      </c>
      <c r="D21" s="12">
        <v>2104881932.0120001</v>
      </c>
      <c r="E21" s="12">
        <v>14963908337.979</v>
      </c>
      <c r="F21" s="12">
        <v>27005195768.228001</v>
      </c>
      <c r="G21" s="12">
        <v>20316430635.228001</v>
      </c>
    </row>
    <row r="23" spans="1:10" ht="16.5" customHeight="1" x14ac:dyDescent="0.35"/>
    <row r="24" spans="1:10" ht="16.5" x14ac:dyDescent="0.45">
      <c r="A24" s="11" t="s">
        <v>3</v>
      </c>
      <c r="B24" s="2">
        <v>1</v>
      </c>
      <c r="C24" s="2">
        <v>3</v>
      </c>
      <c r="D24" s="2">
        <v>5</v>
      </c>
      <c r="E24" s="2"/>
      <c r="F24" s="3" t="s">
        <v>23</v>
      </c>
      <c r="G24" s="3" t="s">
        <v>24</v>
      </c>
      <c r="H24" s="7" t="s">
        <v>26</v>
      </c>
      <c r="I24" s="3" t="s">
        <v>27</v>
      </c>
      <c r="J24" s="7" t="s">
        <v>28</v>
      </c>
    </row>
    <row r="25" spans="1:10" ht="16.5" x14ac:dyDescent="0.45">
      <c r="A25" s="11"/>
      <c r="B25" s="2">
        <v>30</v>
      </c>
      <c r="C25" s="2">
        <v>30</v>
      </c>
      <c r="D25" s="2">
        <v>40</v>
      </c>
      <c r="E25" s="2"/>
      <c r="F25" s="3"/>
      <c r="G25" s="3"/>
      <c r="H25" s="7"/>
      <c r="I25" s="7"/>
      <c r="J25" s="7"/>
    </row>
    <row r="26" spans="1:10" ht="16.5" x14ac:dyDescent="0.35">
      <c r="A26" s="1" t="s">
        <v>18</v>
      </c>
      <c r="B26" s="14">
        <f>IF(F6&lt;G6,ABS((G6/F6)^(1/$B$24)-1),-ABS((G6/F6)^(1/$B$24)-1))</f>
        <v>0.41566229956478318</v>
      </c>
      <c r="C26" s="14">
        <f>IF(D6&lt;G6,ABS((G6/D6)^(1/$C$24)-1),-ABS((G6/D6)^(1/$C$24)-1))</f>
        <v>0.2498102588804838</v>
      </c>
      <c r="D26" s="14">
        <f>IF(B6&lt;G6,ABS((G6/B6)^(1/$D$24)-1),-ABS((G6/B6)^(1/$D$24)-1))</f>
        <v>0.2683673294209068</v>
      </c>
      <c r="E26" s="12"/>
      <c r="F26" s="4">
        <v>0.2</v>
      </c>
      <c r="G26" s="4">
        <v>0.15</v>
      </c>
      <c r="H26" s="12">
        <f>SUM(IF(B26&gt;=F26,$B$25,(B26/F26)*$B$25),IF(C26&gt;=F26,$C$25,(C26/F26)*$C$25),IF(D26&gt;=F26,$D$25,(D26/F26)*$D$25))</f>
        <v>100</v>
      </c>
      <c r="I26" s="12">
        <f>H26*G26</f>
        <v>15</v>
      </c>
      <c r="J26" s="15">
        <f>SUM(I26:I36)</f>
        <v>47.179299927388975</v>
      </c>
    </row>
    <row r="27" spans="1:10" ht="16.5" x14ac:dyDescent="0.35">
      <c r="A27" s="1" t="s">
        <v>19</v>
      </c>
      <c r="B27" s="14">
        <f t="shared" ref="B27:B36" si="4">IF(F7&lt;G7,ABS((G7/F7)^(1/$B$24)-1),-ABS((G7/F7)^(1/$B$24)-1))</f>
        <v>0.48903217406797594</v>
      </c>
      <c r="C27" s="14">
        <f>IF(F7&lt;D7,ABS((G7/F7)^(1/$B$25)-1),-ABS((G7/F7)^(1/$B$25)-1))</f>
        <v>1.3359327653000408E-2</v>
      </c>
      <c r="D27" s="14">
        <f>IF(B7&lt;G7,ABS((G7/B7)^(1/$D$25)-1),-ABS((G7/B7)^(1/$D$25)-1))</f>
        <v>-3.9475568244831116E-3</v>
      </c>
      <c r="E27" s="12"/>
      <c r="F27" s="4">
        <v>0.2</v>
      </c>
      <c r="G27" s="4">
        <v>0.2</v>
      </c>
      <c r="H27" s="12">
        <f t="shared" ref="H27:H36" si="5">SUM(IF(B27&gt;=F27,$B$25,(B27/F27)*$B$25),IF(C27&gt;=F27,$C$25,(C27/F27)*$C$25),IF(D27&gt;=F27,$D$25,(D27/F27)*$D$25))</f>
        <v>31.214387783053436</v>
      </c>
      <c r="I27" s="12">
        <f t="shared" ref="I27:I36" si="6">H27*G27</f>
        <v>6.2428775566106873</v>
      </c>
      <c r="J27" s="15"/>
    </row>
    <row r="28" spans="1:10" ht="16.5" x14ac:dyDescent="0.35">
      <c r="A28" s="1" t="s">
        <v>20</v>
      </c>
      <c r="B28" s="14">
        <f t="shared" si="4"/>
        <v>3.2351242056614771E-2</v>
      </c>
      <c r="C28" s="14">
        <f>IF(F8&lt;D8,ABS((G8/F8)^(1/$B$25)-1),-ABS((G8/F8)^(1/$B$25)-1))</f>
        <v>1.0618620428226588E-3</v>
      </c>
      <c r="D28" s="14">
        <f>IF(B8&lt;G8,ABS((G8/B8)^(1/$D$25)-1),-ABS((G8/B8)^(1/$D$25)-1))</f>
        <v>-2.4849998839420184E-3</v>
      </c>
      <c r="E28" s="12"/>
      <c r="F28" s="4">
        <v>0.15</v>
      </c>
      <c r="G28" s="4">
        <v>0.05</v>
      </c>
      <c r="H28" s="12">
        <f t="shared" si="5"/>
        <v>6.019954184169614</v>
      </c>
      <c r="I28" s="12">
        <f t="shared" si="6"/>
        <v>0.30099770920848073</v>
      </c>
      <c r="J28" s="15"/>
    </row>
    <row r="29" spans="1:10" ht="16.5" x14ac:dyDescent="0.35">
      <c r="A29" s="1" t="s">
        <v>21</v>
      </c>
      <c r="B29" s="14">
        <f t="shared" si="4"/>
        <v>0.50187900905019189</v>
      </c>
      <c r="C29" s="14">
        <f>IF(F9&lt;D9,ABS((G9/F9)^(1/$B$25)-1),-ABS((G9/F9)^(1/$B$25)-1))</f>
        <v>-1.3649549226785407E-2</v>
      </c>
      <c r="D29" s="14">
        <f>IF(B9&lt;G9,ABS((G9/B9)^(1/$D$25)-1),-ABS((G9/B9)^(1/$D$25)-1))</f>
        <v>2.3684344437621352E-2</v>
      </c>
      <c r="E29" s="12"/>
      <c r="F29" s="4">
        <v>0.15</v>
      </c>
      <c r="G29" s="4">
        <v>0.15</v>
      </c>
      <c r="H29" s="12">
        <f t="shared" si="5"/>
        <v>33.585915338008611</v>
      </c>
      <c r="I29" s="12">
        <f t="shared" si="6"/>
        <v>5.0378873007012919</v>
      </c>
      <c r="J29" s="15"/>
    </row>
    <row r="30" spans="1:10" ht="16.5" x14ac:dyDescent="0.35">
      <c r="A30" s="1" t="s">
        <v>8</v>
      </c>
      <c r="B30" s="14">
        <f>B10</f>
        <v>20316430635.228001</v>
      </c>
      <c r="C30" s="13" t="s">
        <v>22</v>
      </c>
      <c r="D30" s="13"/>
      <c r="E30" s="12">
        <f>G10</f>
        <v>13450300052.812</v>
      </c>
      <c r="F30" s="5" t="s">
        <v>25</v>
      </c>
      <c r="G30" s="4">
        <v>0.1</v>
      </c>
      <c r="H30" s="12">
        <f>IF(B30&lt;3*E30,100,0)</f>
        <v>100</v>
      </c>
      <c r="I30" s="12">
        <f t="shared" si="6"/>
        <v>10</v>
      </c>
      <c r="J30" s="15"/>
    </row>
    <row r="31" spans="1:10" ht="16.5" x14ac:dyDescent="0.35">
      <c r="A31" s="1" t="s">
        <v>9</v>
      </c>
      <c r="B31" s="14">
        <f t="shared" si="4"/>
        <v>9.5573852428674222E-2</v>
      </c>
      <c r="C31" s="14">
        <f>IF(F11&lt;D11,ABS((G11/F11)^(1/$B$25)-1),-ABS((G11/F11)^(1/$B$25)-1))</f>
        <v>3.047243173017522E-3</v>
      </c>
      <c r="D31" s="14">
        <f>IF(B11&lt;G11,ABS((G11/B11)^(1/$D$25)-1),-ABS((G11/B11)^(1/$D$25)-1))</f>
        <v>-1.1223970813320494E-2</v>
      </c>
      <c r="E31" s="12"/>
      <c r="F31" s="4">
        <v>0.1</v>
      </c>
      <c r="G31" s="6">
        <v>0.05</v>
      </c>
      <c r="H31" s="12">
        <f t="shared" si="5"/>
        <v>25.096740355179328</v>
      </c>
      <c r="I31" s="12">
        <f t="shared" si="6"/>
        <v>1.2548370177589665</v>
      </c>
      <c r="J31" s="15"/>
    </row>
    <row r="32" spans="1:10" ht="16.5" x14ac:dyDescent="0.35">
      <c r="A32" s="1" t="s">
        <v>10</v>
      </c>
      <c r="B32" s="14">
        <f t="shared" si="4"/>
        <v>0.26219030004581589</v>
      </c>
      <c r="C32" s="14">
        <f>IF(F12&lt;D12,ABS((G12/F12)^(1/$B$25)-1),-ABS((G12/F12)^(1/$B$25)-1))</f>
        <v>7.7918176126181571E-3</v>
      </c>
      <c r="D32" s="14">
        <f>IF(B12&lt;G12,ABS((G12/B12)^(1/$D$25)-1),-ABS((G12/B12)^(1/$D$25)-1))</f>
        <v>4.0518868905272676E-3</v>
      </c>
      <c r="E32" s="12"/>
      <c r="F32" s="4">
        <v>0.1</v>
      </c>
      <c r="G32" s="6"/>
      <c r="H32" s="12">
        <f t="shared" si="5"/>
        <v>33.958300039996352</v>
      </c>
      <c r="I32" s="12">
        <f t="shared" si="6"/>
        <v>0</v>
      </c>
      <c r="J32" s="15"/>
    </row>
    <row r="33" spans="1:10" ht="16.5" x14ac:dyDescent="0.35">
      <c r="A33" s="1" t="s">
        <v>11</v>
      </c>
      <c r="B33" s="14">
        <f t="shared" si="4"/>
        <v>-0.15947537298835346</v>
      </c>
      <c r="C33" s="14">
        <f>IF(F13&lt;D13,ABS((G13/F13)^(1/$B$25)-1),-ABS((G13/F13)^(1/$B$25)-1))</f>
        <v>-5.7742322054087358E-3</v>
      </c>
      <c r="D33" s="14">
        <f>IF(B13&lt;G13,ABS((G13/B13)^(1/$D$25)-1),-ABS((G13/B13)^(1/$D$25)-1))</f>
        <v>-1.0298396256908204E-2</v>
      </c>
      <c r="E33" s="12"/>
      <c r="F33" s="4">
        <v>0.1</v>
      </c>
      <c r="G33" s="6"/>
      <c r="H33" s="12">
        <f t="shared" si="5"/>
        <v>-53.694240060891943</v>
      </c>
      <c r="I33" s="12">
        <f t="shared" si="6"/>
        <v>0</v>
      </c>
      <c r="J33" s="15"/>
    </row>
    <row r="34" spans="1:10" ht="16.5" x14ac:dyDescent="0.35">
      <c r="A34" s="1" t="s">
        <v>12</v>
      </c>
      <c r="B34" s="14">
        <f t="shared" si="4"/>
        <v>0.38243243243243241</v>
      </c>
      <c r="C34" s="14">
        <f>IF(F14&lt;D14,ABS((G14/F14)^(1/$B$25)-1),-ABS((G14/F14)^(1/$B$25)-1))</f>
        <v>1.0853293604259795E-2</v>
      </c>
      <c r="D34" s="14">
        <f>IF(B14&lt;G14,ABS((G14/B14)^(1/$D$25)-1),-ABS((G14/B14)^(1/$D$25)-1))</f>
        <v>-7.202617774595188E-3</v>
      </c>
      <c r="E34" s="12"/>
      <c r="F34" s="4">
        <v>0.15</v>
      </c>
      <c r="G34" s="4">
        <v>0.1</v>
      </c>
      <c r="H34" s="12">
        <f t="shared" si="5"/>
        <v>30.249960647626576</v>
      </c>
      <c r="I34" s="12">
        <f t="shared" si="6"/>
        <v>3.0249960647626577</v>
      </c>
      <c r="J34" s="15"/>
    </row>
    <row r="35" spans="1:10" ht="16.5" x14ac:dyDescent="0.35">
      <c r="A35" s="1" t="s">
        <v>13</v>
      </c>
      <c r="B35" s="14">
        <f t="shared" si="4"/>
        <v>0.44190476190476202</v>
      </c>
      <c r="C35" s="14">
        <f>IF(F15&lt;D15,ABS((G15/F15)^(1/$B$25)-1),-ABS((G15/F15)^(1/$B$25)-1))</f>
        <v>1.2273542271273419E-2</v>
      </c>
      <c r="D35" s="14">
        <f>IF(B15&lt;G15,ABS((G15/B15)^(1/$D$25)-1),-ABS((G15/B15)^(1/$D$25)-1))</f>
        <v>-1.4736995495155947E-3</v>
      </c>
      <c r="E35" s="12"/>
      <c r="F35" s="4">
        <v>0.2</v>
      </c>
      <c r="G35" s="4">
        <v>0.05</v>
      </c>
      <c r="H35" s="12">
        <f t="shared" si="5"/>
        <v>31.546291430787896</v>
      </c>
      <c r="I35" s="12">
        <f t="shared" si="6"/>
        <v>1.5773145715393948</v>
      </c>
      <c r="J35" s="15"/>
    </row>
    <row r="36" spans="1:10" ht="16.5" x14ac:dyDescent="0.35">
      <c r="A36" s="1" t="s">
        <v>14</v>
      </c>
      <c r="B36" s="14">
        <f t="shared" si="4"/>
        <v>0.68024938532591883</v>
      </c>
      <c r="C36" s="14">
        <f>IF(F16&lt;D16,ABS((G16/F16)^(1/$B$25)-1),-ABS((G16/F16)^(1/$B$25)-1))</f>
        <v>1.744855229526876E-2</v>
      </c>
      <c r="D36" s="14">
        <f>IF(B16&lt;G16,ABS((G16/B16)^(1/$D$25)-1),-ABS((G16/B16)^(1/$D$25)-1))</f>
        <v>-7.0766715512642353E-3</v>
      </c>
      <c r="E36" s="12"/>
      <c r="F36" s="4">
        <v>0.15</v>
      </c>
      <c r="G36" s="4">
        <v>0.15</v>
      </c>
      <c r="H36" s="12">
        <f t="shared" si="5"/>
        <v>31.602598045383292</v>
      </c>
      <c r="I36" s="12">
        <f t="shared" si="6"/>
        <v>4.7403897068074938</v>
      </c>
      <c r="J36" s="15"/>
    </row>
  </sheetData>
  <mergeCells count="11">
    <mergeCell ref="C30:D30"/>
    <mergeCell ref="G31:G33"/>
    <mergeCell ref="H24:H25"/>
    <mergeCell ref="I24:I25"/>
    <mergeCell ref="J24:J25"/>
    <mergeCell ref="J26:J36"/>
    <mergeCell ref="A4:A5"/>
    <mergeCell ref="A24:A25"/>
    <mergeCell ref="C10:F10"/>
    <mergeCell ref="F24:F25"/>
    <mergeCell ref="G24:G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g_tính1.GetData">
                <anchor moveWithCells="1" sizeWithCells="1">
                  <from>
                    <xdr:col>3</xdr:col>
                    <xdr:colOff>44450</xdr:colOff>
                    <xdr:row>1</xdr:row>
                    <xdr:rowOff>114300</xdr:rowOff>
                  </from>
                  <to>
                    <xdr:col>3</xdr:col>
                    <xdr:colOff>1384300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1</vt:i4>
      </vt:variant>
    </vt:vector>
  </HeadingPairs>
  <TitlesOfParts>
    <vt:vector size="1" baseType="lpstr">
      <vt:lpstr>4M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</dc:creator>
  <cp:lastModifiedBy>nguye</cp:lastModifiedBy>
  <dcterms:created xsi:type="dcterms:W3CDTF">2021-09-16T07:21:33Z</dcterms:created>
  <dcterms:modified xsi:type="dcterms:W3CDTF">2021-09-16T12:34:04Z</dcterms:modified>
</cp:coreProperties>
</file>